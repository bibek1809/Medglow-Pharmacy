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<sst xmlns="http://schemas.openxmlformats.org/spreadsheetml/2006/main" count="43" uniqueCount="43">
  <si>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Date</t>
  </si>
  <si>
    <t xml:space="preserve">Total</t>
  </si>
  <si>
    <t xml:space="preserve">Physical</t>
  </si>
  <si>
    <t xml:space="preserve">Online</t>
  </si>
  <si>
    <t xml:space="preserve">Tiktok</t>
  </si>
  <si>
    <t xml:space="preserve">Insta</t>
  </si>
  <si>
    <t xml:space="preserve">WhatsApp</t>
  </si>
  <si>
    <t xml:space="preserve">T&amp;W (Combined)</t>
  </si>
  <si>
    <t xml:space="preserve">Indrive</t>
  </si>
  <si>
    <t xml:space="preserve">Call</t>
  </si>
  <si>
    <t xml:space="preserve">Customers (Total)</t>
  </si>
  <si>
    <t xml:space="preserve">Physical Count</t>
  </si>
  <si>
    <t xml:space="preserve">Online Count</t>
  </si>
  <si>
    <t xml:space="preserve">Tiktok Count</t>
  </si>
  <si>
    <t xml:space="preserve">Insta Count</t>
  </si>
  <si>
    <t xml:space="preserve">WhatsApp Count</t>
  </si>
  <si>
    <t xml:space="preserve">T&amp;W Count</t>
  </si>
  <si>
    <t xml:space="preserve">Indrive Count</t>
  </si>
  <si>
    <t xml:space="preserve">Call Count</t>
  </si>
  <si>
    <t xml:space="preserve">Physical Avg (Till Date)</t>
  </si>
  <si>
    <t xml:space="preserve">Online Avg (Till Date)</t>
  </si>
  <si>
    <t xml:space="preserve">Total Avg (Till Date)</t>
  </si>
  <si>
    <t xml:space="preserve">Bank Balance</t>
  </si>
  <si>
    <t xml:space="preserve">Bhadra 1, 2083</t>
  </si>
  <si>
    <t xml:space="preserve">Bhadra 2, 2083</t>
  </si>
  <si>
    <t xml:space="preserve">Bhadra 3, 2083</t>
  </si>
  <si>
    <t xml:space="preserve">Bhadra 4, 2083</t>
  </si>
  <si>
    <t xml:space="preserve">Bhadra 5, 2083</t>
  </si>
  <si>
    <t xml:space="preserve">Bhadra 6, 2083</t>
  </si>
  <si>
    <t xml:space="preserve">Bhadra 7, 2083</t>
  </si>
  <si>
    <t xml:space="preserve">Bhadra 8, 2083</t>
  </si>
  <si>
    <t xml:space="preserve">Bhadra 9, 2083</t>
  </si>
  <si>
    <t xml:space="preserve">Bhadra 10, 2083</t>
  </si>
  <si>
    <t xml:space="preserve">Bhadra 11, 2083</t>
  </si>
  <si>
    <t xml:space="preserve">Bhadra 13, 2083</t>
  </si>
  <si>
    <t xml:space="preserve">Bhadra 14, 2083</t>
  </si>
  <si>
    <t xml:space="preserve">Bhadra 15, 2083</t>
  </si>
  <si>
    <t xml:space="preserve">Bhadra 16, 2083</t>
  </si>
  <si>
    <t xml:space="preserve">Bhadra 17, 2083</t>
  </si>
  <si>
    <t xml:space="preserve">Bhadra 18, 2083</t>
  </si>
  <si>
    <t xml:space="preserve">Bhadra 19, 2083</t>
  </si>
  <si>
    <t xml:space="preserve">TOTAL / AVERAGE</t>
  </si>
  <si>
    <t xml:space="preserve">Note: Blank cells mean that metric wasn't reported separately for that day in the original message (e.g. some days report a combined 'T&amp;W' figure instead of separate Tiktok/WhatsApp numbers, and 'Bhadra 12' was not included in the messages provided).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</si>
</sst>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1" min="20" style="0" width="20"/>
    <col collapsed="false" customWidth="true" hidden="false" outlineLevel="0" max="22" min="22" style="0" width="18"/>
    <col collapsed="false" customWidth="true" hidden="false" outlineLevel="0" max="23" min="23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3" t="n">
        <v>46745</v>
      </c>
      <c r="C2" s="3" t="n">
        <v>35530</v>
      </c>
      <c r="D2" s="3" t="n">
        <v>11215</v>
      </c>
      <c r="E2" s="4"/>
      <c r="F2" s="3" t="n">
        <v>4895</v>
      </c>
      <c r="G2" s="4"/>
      <c r="H2" s="3" t="n">
        <v>6320</v>
      </c>
      <c r="I2" s="4"/>
      <c r="J2" s="4"/>
      <c r="K2" s="4" t="n">
        <v>39</v>
      </c>
      <c r="L2" s="4" t="n">
        <v>30</v>
      </c>
      <c r="M2" s="4" t="n">
        <v>9</v>
      </c>
      <c r="N2" s="4"/>
      <c r="O2" s="4" t="n">
        <v>3</v>
      </c>
      <c r="P2" s="4"/>
      <c r="Q2" s="4" t="n">
        <v>6</v>
      </c>
      <c r="R2" s="4"/>
      <c r="S2" s="4"/>
      <c r="T2" s="3" t="n">
        <v>35530</v>
      </c>
      <c r="U2" s="3" t="n">
        <v>11215</v>
      </c>
      <c r="V2" s="4"/>
      <c r="W2" s="4"/>
    </row>
    <row r="3" customFormat="false" ht="15" hidden="false" customHeight="false" outlineLevel="0" collapsed="false">
      <c r="A3" s="2" t="s">
        <v>24</v>
      </c>
      <c r="B3" s="3" t="n">
        <v>13755</v>
      </c>
      <c r="C3" s="3" t="n">
        <v>4800</v>
      </c>
      <c r="D3" s="3" t="n">
        <v>8955</v>
      </c>
      <c r="E3" s="4"/>
      <c r="F3" s="3" t="n">
        <v>3845</v>
      </c>
      <c r="G3" s="4"/>
      <c r="H3" s="3" t="n">
        <v>5110</v>
      </c>
      <c r="I3" s="4"/>
      <c r="J3" s="4"/>
      <c r="K3" s="4" t="n">
        <v>22</v>
      </c>
      <c r="L3" s="4" t="n">
        <v>14</v>
      </c>
      <c r="M3" s="4" t="n">
        <v>8</v>
      </c>
      <c r="N3" s="4"/>
      <c r="O3" s="4" t="n">
        <v>2</v>
      </c>
      <c r="P3" s="4"/>
      <c r="Q3" s="4" t="n">
        <v>6</v>
      </c>
      <c r="R3" s="4"/>
      <c r="S3" s="4"/>
      <c r="T3" s="3" t="n">
        <v>20165</v>
      </c>
      <c r="U3" s="3" t="n">
        <v>10085</v>
      </c>
      <c r="V3" s="4"/>
      <c r="W3" s="4"/>
    </row>
    <row r="4" customFormat="false" ht="15" hidden="false" customHeight="false" outlineLevel="0" collapsed="false">
      <c r="A4" s="2" t="s">
        <v>25</v>
      </c>
      <c r="B4" s="3" t="n">
        <v>35245</v>
      </c>
      <c r="C4" s="3" t="n">
        <v>17645</v>
      </c>
      <c r="D4" s="3" t="n">
        <v>17600</v>
      </c>
      <c r="E4" s="4"/>
      <c r="F4" s="3" t="n">
        <v>0</v>
      </c>
      <c r="G4" s="4"/>
      <c r="H4" s="3" t="n">
        <v>17600</v>
      </c>
      <c r="I4" s="4"/>
      <c r="J4" s="4"/>
      <c r="K4" s="4" t="n">
        <v>34</v>
      </c>
      <c r="L4" s="4" t="n">
        <v>24</v>
      </c>
      <c r="M4" s="4" t="n">
        <v>10</v>
      </c>
      <c r="N4" s="4"/>
      <c r="O4" s="4" t="n">
        <v>0</v>
      </c>
      <c r="P4" s="4"/>
      <c r="Q4" s="4" t="n">
        <v>10</v>
      </c>
      <c r="R4" s="4"/>
      <c r="S4" s="4"/>
      <c r="T4" s="3" t="n">
        <v>19325</v>
      </c>
      <c r="U4" s="3" t="n">
        <v>12590</v>
      </c>
      <c r="V4" s="4"/>
      <c r="W4" s="4"/>
    </row>
    <row r="5" customFormat="false" ht="15" hidden="false" customHeight="false" outlineLevel="0" collapsed="false">
      <c r="A5" s="2" t="s">
        <v>26</v>
      </c>
      <c r="B5" s="3" t="n">
        <v>37765</v>
      </c>
      <c r="C5" s="3" t="n">
        <v>22150</v>
      </c>
      <c r="D5" s="3" t="n">
        <v>15615</v>
      </c>
      <c r="E5" s="4"/>
      <c r="F5" s="3" t="n">
        <v>800</v>
      </c>
      <c r="G5" s="4"/>
      <c r="H5" s="3" t="n">
        <v>14815</v>
      </c>
      <c r="I5" s="4"/>
      <c r="J5" s="4"/>
      <c r="K5" s="4" t="n">
        <v>25</v>
      </c>
      <c r="L5" s="4" t="n">
        <v>17</v>
      </c>
      <c r="M5" s="4" t="n">
        <v>8</v>
      </c>
      <c r="N5" s="4"/>
      <c r="O5" s="4" t="n">
        <v>1</v>
      </c>
      <c r="P5" s="4"/>
      <c r="Q5" s="4" t="n">
        <v>7</v>
      </c>
      <c r="R5" s="4"/>
      <c r="S5" s="4"/>
      <c r="T5" s="3" t="n">
        <v>20031</v>
      </c>
      <c r="U5" s="3" t="n">
        <v>13346</v>
      </c>
      <c r="V5" s="4"/>
      <c r="W5" s="4"/>
    </row>
    <row r="6" customFormat="false" ht="15" hidden="false" customHeight="false" outlineLevel="0" collapsed="false">
      <c r="A6" s="2" t="s">
        <v>27</v>
      </c>
      <c r="B6" s="3" t="n">
        <v>25650</v>
      </c>
      <c r="C6" s="3" t="n">
        <v>3185</v>
      </c>
      <c r="D6" s="3" t="n">
        <v>22465</v>
      </c>
      <c r="E6" s="4"/>
      <c r="F6" s="3" t="n">
        <v>640</v>
      </c>
      <c r="G6" s="4"/>
      <c r="H6" s="3" t="n">
        <v>21825</v>
      </c>
      <c r="I6" s="4"/>
      <c r="J6" s="4"/>
      <c r="K6" s="4" t="n">
        <v>31</v>
      </c>
      <c r="L6" s="4" t="n">
        <v>16</v>
      </c>
      <c r="M6" s="4" t="n">
        <v>15</v>
      </c>
      <c r="N6" s="4"/>
      <c r="O6" s="4" t="n">
        <v>1</v>
      </c>
      <c r="P6" s="4"/>
      <c r="Q6" s="4" t="n">
        <v>14</v>
      </c>
      <c r="R6" s="4"/>
      <c r="S6" s="4"/>
      <c r="T6" s="3" t="n">
        <v>16662</v>
      </c>
      <c r="U6" s="3" t="n">
        <v>15170</v>
      </c>
      <c r="V6" s="4"/>
      <c r="W6" s="4"/>
    </row>
    <row r="7" customFormat="false" ht="15" hidden="false" customHeight="false" outlineLevel="0" collapsed="false">
      <c r="A7" s="2" t="s">
        <v>28</v>
      </c>
      <c r="B7" s="3" t="n">
        <v>32525</v>
      </c>
      <c r="C7" s="3" t="n">
        <v>9285</v>
      </c>
      <c r="D7" s="3" t="n">
        <v>23240</v>
      </c>
      <c r="E7" s="4"/>
      <c r="F7" s="3" t="n">
        <v>6715</v>
      </c>
      <c r="G7" s="4"/>
      <c r="H7" s="3" t="n">
        <v>16525</v>
      </c>
      <c r="I7" s="4"/>
      <c r="J7" s="4"/>
      <c r="K7" s="4" t="n">
        <v>32</v>
      </c>
      <c r="L7" s="4" t="n">
        <v>24</v>
      </c>
      <c r="M7" s="4" t="n">
        <v>8</v>
      </c>
      <c r="N7" s="4"/>
      <c r="O7" s="4" t="n">
        <v>2</v>
      </c>
      <c r="P7" s="4"/>
      <c r="Q7" s="4" t="n">
        <v>6</v>
      </c>
      <c r="R7" s="4"/>
      <c r="S7" s="4"/>
      <c r="T7" s="3" t="n">
        <v>15432</v>
      </c>
      <c r="U7" s="3" t="n">
        <v>16515</v>
      </c>
      <c r="V7" s="4"/>
      <c r="W7" s="4"/>
    </row>
    <row r="8" customFormat="false" ht="15" hidden="false" customHeight="false" outlineLevel="0" collapsed="false">
      <c r="A8" s="2" t="s">
        <v>29</v>
      </c>
      <c r="B8" s="3" t="n">
        <v>14495</v>
      </c>
      <c r="C8" s="3" t="n">
        <v>7820</v>
      </c>
      <c r="D8" s="3" t="n">
        <v>6675</v>
      </c>
      <c r="E8" s="4"/>
      <c r="F8" s="3" t="n">
        <v>1785</v>
      </c>
      <c r="G8" s="4"/>
      <c r="H8" s="3" t="n">
        <v>4890</v>
      </c>
      <c r="I8" s="4"/>
      <c r="J8" s="4"/>
      <c r="K8" s="4" t="n">
        <v>20</v>
      </c>
      <c r="L8" s="4" t="n">
        <v>13</v>
      </c>
      <c r="M8" s="4" t="n">
        <v>7</v>
      </c>
      <c r="N8" s="4"/>
      <c r="O8" s="4" t="n">
        <v>1</v>
      </c>
      <c r="P8" s="4"/>
      <c r="Q8" s="4" t="n">
        <v>6</v>
      </c>
      <c r="R8" s="4"/>
      <c r="S8" s="4"/>
      <c r="T8" s="3" t="n">
        <v>14345</v>
      </c>
      <c r="U8" s="3" t="n">
        <v>15109</v>
      </c>
      <c r="V8" s="4"/>
      <c r="W8" s="4"/>
    </row>
    <row r="9" customFormat="false" ht="15" hidden="false" customHeight="false" outlineLevel="0" collapsed="false">
      <c r="A9" s="2" t="s">
        <v>30</v>
      </c>
      <c r="B9" s="3" t="n">
        <v>45695</v>
      </c>
      <c r="C9" s="3" t="n">
        <v>24985</v>
      </c>
      <c r="D9" s="3" t="n">
        <v>20710</v>
      </c>
      <c r="E9" s="4"/>
      <c r="F9" s="3" t="n">
        <v>3010</v>
      </c>
      <c r="G9" s="4"/>
      <c r="H9" s="3" t="n">
        <v>17700</v>
      </c>
      <c r="I9" s="4"/>
      <c r="J9" s="4"/>
      <c r="K9" s="4" t="n">
        <v>45</v>
      </c>
      <c r="L9" s="4" t="n">
        <v>30</v>
      </c>
      <c r="M9" s="4" t="n">
        <v>15</v>
      </c>
      <c r="N9" s="4"/>
      <c r="O9" s="4" t="n">
        <v>2</v>
      </c>
      <c r="P9" s="4"/>
      <c r="Q9" s="4" t="n">
        <v>13</v>
      </c>
      <c r="R9" s="4"/>
      <c r="S9" s="4"/>
      <c r="T9" s="3" t="n">
        <v>15675</v>
      </c>
      <c r="U9" s="3" t="n">
        <v>15809</v>
      </c>
      <c r="V9" s="4"/>
      <c r="W9" s="3" t="n">
        <v>640000</v>
      </c>
    </row>
    <row r="10" customFormat="false" ht="15" hidden="false" customHeight="false" outlineLevel="0" collapsed="false">
      <c r="A10" s="2" t="s">
        <v>31</v>
      </c>
      <c r="B10" s="3" t="n">
        <v>32420</v>
      </c>
      <c r="C10" s="3" t="n">
        <v>4855</v>
      </c>
      <c r="D10" s="3" t="n">
        <v>27565</v>
      </c>
      <c r="E10" s="4"/>
      <c r="F10" s="3" t="n">
        <v>0</v>
      </c>
      <c r="G10" s="4"/>
      <c r="H10" s="3" t="n">
        <v>26475</v>
      </c>
      <c r="I10" s="3" t="n">
        <v>1090</v>
      </c>
      <c r="J10" s="4"/>
      <c r="K10" s="4" t="n">
        <v>30</v>
      </c>
      <c r="L10" s="4" t="n">
        <v>14</v>
      </c>
      <c r="M10" s="4" t="n">
        <v>16</v>
      </c>
      <c r="N10" s="4"/>
      <c r="O10" s="4" t="n">
        <v>0</v>
      </c>
      <c r="P10" s="4"/>
      <c r="Q10" s="4" t="n">
        <v>15</v>
      </c>
      <c r="R10" s="4" t="n">
        <v>1</v>
      </c>
      <c r="S10" s="4"/>
      <c r="T10" s="3" t="n">
        <v>14472</v>
      </c>
      <c r="U10" s="3" t="n">
        <v>21627</v>
      </c>
      <c r="V10" s="4"/>
      <c r="W10" s="4"/>
    </row>
    <row r="11" customFormat="false" ht="15" hidden="false" customHeight="false" outlineLevel="0" collapsed="false">
      <c r="A11" s="2" t="s">
        <v>32</v>
      </c>
      <c r="B11" s="3" t="n">
        <v>17940</v>
      </c>
      <c r="C11" s="3" t="n">
        <v>4505</v>
      </c>
      <c r="D11" s="3" t="n">
        <v>13435</v>
      </c>
      <c r="E11" s="4"/>
      <c r="F11" s="3" t="n">
        <v>0</v>
      </c>
      <c r="G11" s="4"/>
      <c r="H11" s="3" t="n">
        <v>13435</v>
      </c>
      <c r="I11" s="4"/>
      <c r="J11" s="4"/>
      <c r="K11" s="4" t="n">
        <v>23</v>
      </c>
      <c r="L11" s="4" t="n">
        <v>12</v>
      </c>
      <c r="M11" s="4" t="n">
        <v>11</v>
      </c>
      <c r="N11" s="4"/>
      <c r="O11" s="4" t="n">
        <v>0</v>
      </c>
      <c r="P11" s="4"/>
      <c r="Q11" s="4" t="n">
        <v>10</v>
      </c>
      <c r="R11" s="4" t="n">
        <v>1</v>
      </c>
      <c r="S11" s="4"/>
      <c r="T11" s="3" t="n">
        <v>13476</v>
      </c>
      <c r="U11" s="3" t="n">
        <v>16747</v>
      </c>
      <c r="V11" s="4"/>
      <c r="W11" s="3" t="n">
        <v>678000</v>
      </c>
    </row>
    <row r="12" customFormat="false" ht="15" hidden="false" customHeight="false" outlineLevel="0" collapsed="false">
      <c r="A12" s="2" t="s">
        <v>33</v>
      </c>
      <c r="B12" s="3" t="n">
        <v>10760</v>
      </c>
      <c r="C12" s="3" t="n">
        <v>875</v>
      </c>
      <c r="D12" s="3" t="n">
        <v>9885</v>
      </c>
      <c r="E12" s="4"/>
      <c r="F12" s="3" t="n">
        <v>0</v>
      </c>
      <c r="G12" s="4"/>
      <c r="H12" s="3" t="n">
        <v>9885</v>
      </c>
      <c r="I12" s="4"/>
      <c r="J12" s="4"/>
      <c r="K12" s="4" t="n">
        <v>14</v>
      </c>
      <c r="L12" s="4" t="n">
        <v>6</v>
      </c>
      <c r="M12" s="4" t="n">
        <v>8</v>
      </c>
      <c r="N12" s="4"/>
      <c r="O12" s="4" t="n">
        <v>0</v>
      </c>
      <c r="P12" s="4"/>
      <c r="Q12" s="4" t="n">
        <v>8</v>
      </c>
      <c r="R12" s="4"/>
      <c r="S12" s="4"/>
      <c r="T12" s="3" t="n">
        <v>11302</v>
      </c>
      <c r="U12" s="3" t="n">
        <v>14780</v>
      </c>
      <c r="V12" s="4"/>
      <c r="W12" s="4"/>
    </row>
    <row r="13" customFormat="false" ht="15" hidden="false" customHeight="false" outlineLevel="0" collapsed="false">
      <c r="A13" s="2" t="s">
        <v>34</v>
      </c>
      <c r="B13" s="3" t="n">
        <v>32630</v>
      </c>
      <c r="C13" s="3" t="n">
        <v>7415</v>
      </c>
      <c r="D13" s="3" t="n">
        <v>25215</v>
      </c>
      <c r="E13" s="4"/>
      <c r="F13" s="3" t="n">
        <v>2520</v>
      </c>
      <c r="G13" s="4"/>
      <c r="H13" s="3" t="n">
        <v>22695</v>
      </c>
      <c r="I13" s="4"/>
      <c r="J13" s="4"/>
      <c r="K13" s="4" t="n">
        <v>30</v>
      </c>
      <c r="L13" s="4" t="n">
        <v>15</v>
      </c>
      <c r="M13" s="4" t="n">
        <v>15</v>
      </c>
      <c r="N13" s="4"/>
      <c r="O13" s="4" t="n">
        <v>1</v>
      </c>
      <c r="P13" s="4"/>
      <c r="Q13" s="4" t="n">
        <v>14</v>
      </c>
      <c r="R13" s="4"/>
      <c r="S13" s="4"/>
      <c r="T13" s="3" t="n">
        <v>11003</v>
      </c>
      <c r="U13" s="3" t="n">
        <v>14780</v>
      </c>
      <c r="V13" s="4"/>
      <c r="W13" s="4"/>
    </row>
    <row r="14" customFormat="false" ht="15" hidden="false" customHeight="false" outlineLevel="0" collapsed="false">
      <c r="A14" s="2" t="s">
        <v>35</v>
      </c>
      <c r="B14" s="3" t="n">
        <v>43365</v>
      </c>
      <c r="C14" s="3" t="n">
        <v>15370</v>
      </c>
      <c r="D14" s="3" t="n">
        <v>27995</v>
      </c>
      <c r="E14" s="4"/>
      <c r="F14" s="3" t="n">
        <v>6820</v>
      </c>
      <c r="G14" s="4"/>
      <c r="H14" s="3" t="n">
        <v>21175</v>
      </c>
      <c r="I14" s="4"/>
      <c r="J14" s="4"/>
      <c r="K14" s="4" t="n">
        <v>39</v>
      </c>
      <c r="L14" s="4" t="n">
        <v>23</v>
      </c>
      <c r="M14" s="4" t="n">
        <v>16</v>
      </c>
      <c r="N14" s="4"/>
      <c r="O14" s="4" t="n">
        <v>5</v>
      </c>
      <c r="P14" s="4"/>
      <c r="Q14" s="4" t="n">
        <v>11</v>
      </c>
      <c r="R14" s="4"/>
      <c r="S14" s="4"/>
      <c r="T14" s="3" t="n">
        <v>11315</v>
      </c>
      <c r="U14" s="3" t="n">
        <v>16469</v>
      </c>
      <c r="V14" s="4"/>
      <c r="W14" s="3" t="n">
        <v>686000</v>
      </c>
    </row>
    <row r="15" customFormat="false" ht="15" hidden="false" customHeight="false" outlineLevel="0" collapsed="false">
      <c r="A15" s="2" t="s">
        <v>36</v>
      </c>
      <c r="B15" s="3" t="n">
        <v>20980</v>
      </c>
      <c r="C15" s="3" t="n">
        <v>7495</v>
      </c>
      <c r="D15" s="3" t="n">
        <v>13485</v>
      </c>
      <c r="E15" s="4"/>
      <c r="F15" s="3" t="n">
        <v>4455</v>
      </c>
      <c r="G15" s="4"/>
      <c r="H15" s="3" t="n">
        <v>9030</v>
      </c>
      <c r="I15" s="4"/>
      <c r="J15" s="4"/>
      <c r="K15" s="4" t="n">
        <v>26</v>
      </c>
      <c r="L15" s="4" t="n">
        <v>15</v>
      </c>
      <c r="M15" s="4" t="n">
        <v>11</v>
      </c>
      <c r="N15" s="4"/>
      <c r="O15" s="4" t="n">
        <v>3</v>
      </c>
      <c r="P15" s="4"/>
      <c r="Q15" s="4" t="n">
        <v>8</v>
      </c>
      <c r="R15" s="4"/>
      <c r="S15" s="4"/>
      <c r="T15" s="3" t="n">
        <v>11061</v>
      </c>
      <c r="U15" s="3" t="n">
        <v>16270</v>
      </c>
      <c r="V15" s="4"/>
      <c r="W15" s="4"/>
    </row>
    <row r="16" customFormat="false" ht="15" hidden="false" customHeight="false" outlineLevel="0" collapsed="false">
      <c r="A16" s="2" t="s">
        <v>37</v>
      </c>
      <c r="B16" s="3" t="n">
        <v>29465</v>
      </c>
      <c r="C16" s="3" t="n">
        <v>11685</v>
      </c>
      <c r="D16" s="3" t="n">
        <v>17780</v>
      </c>
      <c r="E16" s="4"/>
      <c r="F16" s="3" t="n">
        <v>3845</v>
      </c>
      <c r="G16" s="4"/>
      <c r="H16" s="3" t="n">
        <v>13935</v>
      </c>
      <c r="I16" s="4"/>
      <c r="J16" s="4"/>
      <c r="K16" s="4" t="n">
        <v>28</v>
      </c>
      <c r="L16" s="4" t="n">
        <v>17</v>
      </c>
      <c r="M16" s="4" t="n">
        <v>11</v>
      </c>
      <c r="N16" s="4"/>
      <c r="O16" s="4" t="n">
        <v>3</v>
      </c>
      <c r="P16" s="4"/>
      <c r="Q16" s="4" t="n">
        <v>8</v>
      </c>
      <c r="R16" s="4"/>
      <c r="S16" s="4"/>
      <c r="T16" s="3" t="n">
        <v>11100</v>
      </c>
      <c r="U16" s="3" t="n">
        <v>16364</v>
      </c>
      <c r="V16" s="3" t="n">
        <v>27464</v>
      </c>
      <c r="W16" s="4"/>
    </row>
    <row r="17" customFormat="false" ht="15" hidden="false" customHeight="false" outlineLevel="0" collapsed="false">
      <c r="A17" s="2" t="s">
        <v>38</v>
      </c>
      <c r="B17" s="3" t="n">
        <v>22055</v>
      </c>
      <c r="C17" s="3" t="n">
        <v>15415</v>
      </c>
      <c r="D17" s="3" t="n">
        <v>6640</v>
      </c>
      <c r="E17" s="3" t="n">
        <v>2640</v>
      </c>
      <c r="F17" s="3" t="n">
        <v>0</v>
      </c>
      <c r="G17" s="3" t="n">
        <v>4000</v>
      </c>
      <c r="H17" s="4"/>
      <c r="I17" s="4"/>
      <c r="J17" s="4"/>
      <c r="K17" s="4" t="n">
        <v>21</v>
      </c>
      <c r="L17" s="4" t="n">
        <v>18</v>
      </c>
      <c r="M17" s="4" t="n">
        <v>3</v>
      </c>
      <c r="N17" s="4" t="n">
        <v>1</v>
      </c>
      <c r="O17" s="4" t="n">
        <v>0</v>
      </c>
      <c r="P17" s="4" t="n">
        <v>2</v>
      </c>
      <c r="Q17" s="4"/>
      <c r="R17" s="4"/>
      <c r="S17" s="4"/>
      <c r="T17" s="3" t="n">
        <v>11353</v>
      </c>
      <c r="U17" s="3" t="n">
        <v>15792</v>
      </c>
      <c r="V17" s="3" t="n">
        <v>27145</v>
      </c>
      <c r="W17" s="4"/>
    </row>
    <row r="18" customFormat="false" ht="15" hidden="false" customHeight="false" outlineLevel="0" collapsed="false">
      <c r="A18" s="2" t="s">
        <v>39</v>
      </c>
      <c r="B18" s="3" t="n">
        <v>37221</v>
      </c>
      <c r="C18" s="3" t="n">
        <v>7095</v>
      </c>
      <c r="D18" s="3" t="n">
        <v>30126</v>
      </c>
      <c r="E18" s="3" t="n">
        <v>16511</v>
      </c>
      <c r="F18" s="3" t="n">
        <v>4015</v>
      </c>
      <c r="G18" s="3" t="n">
        <v>9600</v>
      </c>
      <c r="H18" s="4"/>
      <c r="I18" s="4"/>
      <c r="J18" s="4"/>
      <c r="K18" s="4" t="n">
        <v>31</v>
      </c>
      <c r="L18" s="4" t="n">
        <v>19</v>
      </c>
      <c r="M18" s="4" t="n">
        <v>13</v>
      </c>
      <c r="N18" s="4" t="n">
        <v>7</v>
      </c>
      <c r="O18" s="4" t="n">
        <v>1</v>
      </c>
      <c r="P18" s="4" t="n">
        <v>4</v>
      </c>
      <c r="Q18" s="4"/>
      <c r="R18" s="4"/>
      <c r="S18" s="4"/>
      <c r="T18" s="3" t="n">
        <v>11117</v>
      </c>
      <c r="U18" s="3" t="n">
        <v>16588</v>
      </c>
      <c r="V18" s="3" t="n">
        <v>27705</v>
      </c>
      <c r="W18" s="4"/>
    </row>
    <row r="19" customFormat="false" ht="15" hidden="false" customHeight="false" outlineLevel="0" collapsed="false">
      <c r="A19" s="2" t="s">
        <v>40</v>
      </c>
      <c r="B19" s="3" t="n">
        <v>27040</v>
      </c>
      <c r="C19" s="3" t="n">
        <v>17250</v>
      </c>
      <c r="D19" s="3" t="n">
        <v>9790</v>
      </c>
      <c r="E19" s="3" t="n">
        <v>6950</v>
      </c>
      <c r="F19" s="3" t="n">
        <v>0</v>
      </c>
      <c r="G19" s="3" t="n">
        <v>1640</v>
      </c>
      <c r="H19" s="4"/>
      <c r="I19" s="4"/>
      <c r="J19" s="3" t="n">
        <v>1200</v>
      </c>
      <c r="K19" s="4" t="n">
        <v>29</v>
      </c>
      <c r="L19" s="4" t="n">
        <v>23</v>
      </c>
      <c r="M19" s="4" t="n">
        <v>6</v>
      </c>
      <c r="N19" s="4" t="n">
        <v>4</v>
      </c>
      <c r="O19" s="4" t="n">
        <v>0</v>
      </c>
      <c r="P19" s="4" t="n">
        <v>1</v>
      </c>
      <c r="Q19" s="4"/>
      <c r="R19" s="4"/>
      <c r="S19" s="4" t="n">
        <v>1</v>
      </c>
      <c r="T19" s="3" t="n">
        <v>11440</v>
      </c>
      <c r="U19" s="3" t="n">
        <v>16231</v>
      </c>
      <c r="V19" s="3" t="n">
        <v>27671</v>
      </c>
      <c r="W19" s="4"/>
    </row>
    <row r="21" customFormat="false" ht="15" hidden="false" customHeight="false" outlineLevel="0" collapsed="false">
      <c r="A21" s="5" t="s">
        <v>41</v>
      </c>
      <c r="B21" s="6" t="n">
        <f aca="false">SUM(B2:B19)</f>
        <v>525751</v>
      </c>
      <c r="C21" s="6" t="n">
        <f aca="false">SUM(C2:C19)</f>
        <v>217360</v>
      </c>
      <c r="D21" s="6" t="n">
        <f aca="false">SUM(D2:D19)</f>
        <v>308391</v>
      </c>
      <c r="E21" s="6" t="n">
        <f aca="false">SUM(E2:E19)</f>
        <v>26101</v>
      </c>
      <c r="F21" s="6" t="n">
        <f aca="false">SUM(F2:F19)</f>
        <v>43345</v>
      </c>
      <c r="G21" s="6" t="n">
        <f aca="false">SUM(G2:G19)</f>
        <v>15240</v>
      </c>
      <c r="H21" s="6" t="n">
        <f aca="false">SUM(H2:H19)</f>
        <v>221415</v>
      </c>
      <c r="I21" s="6" t="n">
        <f aca="false">SUM(I2:I19)</f>
        <v>1090</v>
      </c>
      <c r="J21" s="6" t="n">
        <f aca="false">SUM(J2:J19)</f>
        <v>1200</v>
      </c>
      <c r="K21" s="6" t="n">
        <f aca="false">SUM(K2:K19)</f>
        <v>519</v>
      </c>
      <c r="L21" s="6" t="n">
        <f aca="false">SUM(L2:L19)</f>
        <v>330</v>
      </c>
      <c r="M21" s="6" t="n">
        <f aca="false">SUM(M2:M19)</f>
        <v>190</v>
      </c>
      <c r="N21" s="6" t="n">
        <f aca="false">SUM(N2:N19)</f>
        <v>12</v>
      </c>
      <c r="O21" s="6" t="n">
        <f aca="false">SUM(O2:O19)</f>
        <v>25</v>
      </c>
      <c r="P21" s="6" t="n">
        <f aca="false">SUM(P2:P19)</f>
        <v>7</v>
      </c>
      <c r="Q21" s="6" t="n">
        <f aca="false">SUM(Q2:Q19)</f>
        <v>142</v>
      </c>
      <c r="R21" s="6" t="n">
        <f aca="false">SUM(R2:R19)</f>
        <v>2</v>
      </c>
      <c r="S21" s="6" t="n">
        <f aca="false">SUM(S2:S19)</f>
        <v>1</v>
      </c>
      <c r="T21" s="6" t="n">
        <f aca="false">AVERAGE(T2:T19)</f>
        <v>15266.8888888889</v>
      </c>
      <c r="U21" s="6" t="n">
        <f aca="false">AVERAGE(U2:U19)</f>
        <v>15304.8333333333</v>
      </c>
      <c r="V21" s="6" t="n">
        <f aca="false">AVERAGE(V2:V19)</f>
        <v>27496.25</v>
      </c>
    </row>
    <row r="23" customFormat="false" ht="15" hidden="false" customHeight="false" outlineLevel="0" collapsed="false">
      <c r="A23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2026-09-05T11:20:04Z</dcterms:created>
  <dc:creator>openpyxl</dc:creator>
  <dc:description/>
  <dc:language>en-US</dc:language>
  <cp:lastModifiedBy/>
  <dcterms:modified xsi:type="dcterms:W3CDTF">2026-09-05T11:20:04Z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